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nheimuab-my.sharepoint.com/personal/ignven_svenheim_lt/Documents/Desktop/Apdailos kodo gen/"/>
    </mc:Choice>
  </mc:AlternateContent>
  <xr:revisionPtr revIDLastSave="65" documentId="8_{6EEF2F4A-8834-4DAF-B727-7DA66127EA47}" xr6:coauthVersionLast="47" xr6:coauthVersionMax="47" xr10:uidLastSave="{87A603CE-2081-42FB-897E-C552FECF4E5C}"/>
  <bookViews>
    <workbookView xWindow="-120" yWindow="-120" windowWidth="29040" windowHeight="15840" activeTab="2" xr2:uid="{00000000-000D-0000-FFFF-FFFF00000000}"/>
  </bookViews>
  <sheets>
    <sheet name="Generatorius" sheetId="1" r:id="rId1"/>
    <sheet name="Paaiškinimas" sheetId="2" r:id="rId2"/>
    <sheet name="Taisyklės" sheetId="4" r:id="rId3"/>
    <sheet name="Reikšmės" sheetId="3" state="hidden" r:id="rId4"/>
  </sheets>
  <definedNames>
    <definedName name="Paviršiaus_blizgumas">Paaiškinimas!$J$2:$J$2</definedName>
    <definedName name="Paviršiaus_blizgumas1">Paaiškinimas!$I$2:$I$5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B9" i="1"/>
  <c r="C9" i="1"/>
  <c r="A14" i="1"/>
  <c r="C14" i="1"/>
  <c r="B13" i="1"/>
  <c r="B14" i="1" s="1"/>
  <c r="D4" i="1"/>
  <c r="A4" i="1"/>
  <c r="C4" i="1"/>
  <c r="E8" i="1"/>
  <c r="B3" i="1"/>
  <c r="E3" i="1" s="1"/>
  <c r="D13" i="1" l="1"/>
  <c r="B4" i="1"/>
</calcChain>
</file>

<file path=xl/sharedStrings.xml><?xml version="1.0" encoding="utf-8"?>
<sst xmlns="http://schemas.openxmlformats.org/spreadsheetml/2006/main" count="307" uniqueCount="219">
  <si>
    <t>Paviršiai</t>
  </si>
  <si>
    <t>Skiriamasis ženklas</t>
  </si>
  <si>
    <t>Apdailos kodas</t>
  </si>
  <si>
    <t>Paviršiaus blizgumas</t>
  </si>
  <si>
    <t>Sugeneruotas kodas</t>
  </si>
  <si>
    <t>B+H</t>
  </si>
  <si>
    <t>=</t>
  </si>
  <si>
    <t>gl.5</t>
  </si>
  <si>
    <t>T</t>
  </si>
  <si>
    <t>19.11.19</t>
  </si>
  <si>
    <t>B</t>
  </si>
  <si>
    <t>gl.10</t>
  </si>
  <si>
    <t>E</t>
  </si>
  <si>
    <t>gl.15</t>
  </si>
  <si>
    <t>H</t>
  </si>
  <si>
    <t>gl.25</t>
  </si>
  <si>
    <t>T+E</t>
  </si>
  <si>
    <t>B+E</t>
  </si>
  <si>
    <t>E+H</t>
  </si>
  <si>
    <t>Medžiagos</t>
  </si>
  <si>
    <t>MDF</t>
  </si>
  <si>
    <t>Fanera</t>
  </si>
  <si>
    <t>Plastikas</t>
  </si>
  <si>
    <t>Apdailos tipai</t>
  </si>
  <si>
    <t>UV lakavimas</t>
  </si>
  <si>
    <t>Vandens lakas</t>
  </si>
  <si>
    <t>Poliuretano lakas</t>
  </si>
  <si>
    <t>Tekstūros</t>
  </si>
  <si>
    <t>Blizgus</t>
  </si>
  <si>
    <t>Matinis</t>
  </si>
  <si>
    <t>Pusiau matinis</t>
  </si>
  <si>
    <t>Top</t>
  </si>
  <si>
    <t>Bottom</t>
  </si>
  <si>
    <t>Edge</t>
  </si>
  <si>
    <t>Hole</t>
  </si>
  <si>
    <t>Bottom+Hole</t>
  </si>
  <si>
    <t>Bottom+Edge</t>
  </si>
  <si>
    <t>Edge+Hole</t>
  </si>
  <si>
    <t>Reikalingas, jei nurodomi paviršiai</t>
  </si>
  <si>
    <t>Sutrumpinimas</t>
  </si>
  <si>
    <t>Paaiškinimas</t>
  </si>
  <si>
    <t>3% 10.07.17</t>
  </si>
  <si>
    <t>6% 11.07.17</t>
  </si>
  <si>
    <t>10% 12.07.17</t>
  </si>
  <si>
    <t>02.06.10</t>
  </si>
  <si>
    <t>01.06.12</t>
  </si>
  <si>
    <t>01.27.16</t>
  </si>
  <si>
    <t>31.01.17</t>
  </si>
  <si>
    <t>25.04.17</t>
  </si>
  <si>
    <t>26.04.17</t>
  </si>
  <si>
    <t>27.04.17</t>
  </si>
  <si>
    <t>03.05.17</t>
  </si>
  <si>
    <t>05.06.17</t>
  </si>
  <si>
    <t>23.11.17</t>
  </si>
  <si>
    <t>10.10.18</t>
  </si>
  <si>
    <t>11.10.18</t>
  </si>
  <si>
    <t>12.10.18</t>
  </si>
  <si>
    <t>24.04.19</t>
  </si>
  <si>
    <t>27.08.19</t>
  </si>
  <si>
    <t>08.11.19</t>
  </si>
  <si>
    <t>20.11.19</t>
  </si>
  <si>
    <t>21.11.19</t>
  </si>
  <si>
    <t>22.11.19</t>
  </si>
  <si>
    <t>02.01.20</t>
  </si>
  <si>
    <t>12.02.20</t>
  </si>
  <si>
    <t>07.04.20</t>
  </si>
  <si>
    <t>07.05.20</t>
  </si>
  <si>
    <t>12.08.20</t>
  </si>
  <si>
    <t>30.10.20</t>
  </si>
  <si>
    <t>23.11.20</t>
  </si>
  <si>
    <t>20.01.21</t>
  </si>
  <si>
    <t>02.03.21</t>
  </si>
  <si>
    <t>03.03.21</t>
  </si>
  <si>
    <t>01.07.21</t>
  </si>
  <si>
    <t>14.09.21</t>
  </si>
  <si>
    <t>28.09.21</t>
  </si>
  <si>
    <t>18.03.22</t>
  </si>
  <si>
    <t>25.04.22</t>
  </si>
  <si>
    <t>09.05.22</t>
  </si>
  <si>
    <t>23.09.22</t>
  </si>
  <si>
    <t>25.11.22</t>
  </si>
  <si>
    <t>09.12.22</t>
  </si>
  <si>
    <t>23.01.23</t>
  </si>
  <si>
    <t>30.01.23</t>
  </si>
  <si>
    <t>27.04.23</t>
  </si>
  <si>
    <t>25.05.23</t>
  </si>
  <si>
    <t>01.12.23</t>
  </si>
  <si>
    <t>03.04.24</t>
  </si>
  <si>
    <t>08.04.24</t>
  </si>
  <si>
    <t>09.04.24</t>
  </si>
  <si>
    <t>22.04.24</t>
  </si>
  <si>
    <t>03.09.24</t>
  </si>
  <si>
    <t>04.09.24</t>
  </si>
  <si>
    <t>08.10.24</t>
  </si>
  <si>
    <t>28.10.24</t>
  </si>
  <si>
    <t>3% balinimas</t>
  </si>
  <si>
    <t>6% balinimas</t>
  </si>
  <si>
    <t>10% balinimas</t>
  </si>
  <si>
    <t>Ruda</t>
  </si>
  <si>
    <t>Juoda</t>
  </si>
  <si>
    <t>Tamsiai pilka / Juoda</t>
  </si>
  <si>
    <t>S5010-G50Y</t>
  </si>
  <si>
    <t>S7010-B90G</t>
  </si>
  <si>
    <t>S6020-B10G</t>
  </si>
  <si>
    <t>Pilka</t>
  </si>
  <si>
    <t>S1515-R</t>
  </si>
  <si>
    <t>S3005-G20Y</t>
  </si>
  <si>
    <t>Ruda F5872 Refined Walnut</t>
  </si>
  <si>
    <t>S7010-R90B</t>
  </si>
  <si>
    <t>Ruda Teak</t>
  </si>
  <si>
    <t>Žalia</t>
  </si>
  <si>
    <t>Pilka Smoked oak</t>
  </si>
  <si>
    <t>Balinta</t>
  </si>
  <si>
    <t>Nero Natur</t>
  </si>
  <si>
    <t>Gratonet</t>
  </si>
  <si>
    <t>Vintage</t>
  </si>
  <si>
    <t>S2000-N</t>
  </si>
  <si>
    <t>S5040-Y90R</t>
  </si>
  <si>
    <t>S2040-Y</t>
  </si>
  <si>
    <t>Oak Auster(stone)</t>
  </si>
  <si>
    <t>S0500-N</t>
  </si>
  <si>
    <t>Ral1036</t>
  </si>
  <si>
    <t>Spalva pagal NCS paletę</t>
  </si>
  <si>
    <t>Visi paviršiai</t>
  </si>
  <si>
    <t>CH</t>
  </si>
  <si>
    <t>Sutrumpinimai etiketėse</t>
  </si>
  <si>
    <t>Eil.Nr.</t>
  </si>
  <si>
    <t>Kodų pavyzdžiai</t>
  </si>
  <si>
    <t>Reikšmė</t>
  </si>
  <si>
    <t>3% 10.07.17 gl.5</t>
  </si>
  <si>
    <t>Egde</t>
  </si>
  <si>
    <t>T=10% 12.07.17 gl.5</t>
  </si>
  <si>
    <t>B=S1510-Y60R</t>
  </si>
  <si>
    <t>PU</t>
  </si>
  <si>
    <t>Poliuretaninis lakas</t>
  </si>
  <si>
    <t>E=19.11.19 gl.5</t>
  </si>
  <si>
    <t>Surface Top</t>
  </si>
  <si>
    <t>H=gl.5</t>
  </si>
  <si>
    <t xml:space="preserve">B </t>
  </si>
  <si>
    <t>Surface Bottom</t>
  </si>
  <si>
    <t>T+E=gl.5</t>
  </si>
  <si>
    <t>Monell</t>
  </si>
  <si>
    <t>B+H=S8502-B</t>
  </si>
  <si>
    <t>7*</t>
  </si>
  <si>
    <t>Chamfer</t>
  </si>
  <si>
    <t xml:space="preserve">B+E= </t>
  </si>
  <si>
    <t>8**</t>
  </si>
  <si>
    <t xml:space="preserve">E+H= </t>
  </si>
  <si>
    <t>*CH naudojama tik išskirtiniais atvejais, kai "E" ir "CH" turi skirtingas apdailas</t>
  </si>
  <si>
    <t>** Žymėjimas lenktiems gaminiams.</t>
  </si>
  <si>
    <t>Eil. Nr.</t>
  </si>
  <si>
    <t>Klaidų aprašymas</t>
  </si>
  <si>
    <t>Teisingi kodai</t>
  </si>
  <si>
    <r>
      <t xml:space="preserve">Naudoti aukščiau nurodytus sutrumpinimus. (gl.5 </t>
    </r>
    <r>
      <rPr>
        <b/>
        <sz val="11"/>
        <color theme="1"/>
        <rFont val="Calibri"/>
        <family val="2"/>
        <scheme val="minor"/>
      </rPr>
      <t>hole</t>
    </r>
    <r>
      <rPr>
        <sz val="11"/>
        <color theme="1"/>
        <rFont val="Calibri"/>
        <family val="2"/>
        <scheme val="minor"/>
      </rPr>
      <t>)</t>
    </r>
  </si>
  <si>
    <t>E=gl.5</t>
  </si>
  <si>
    <r>
      <t>NCS kode nenaudoti apatinio brūkšnio (S9000</t>
    </r>
    <r>
      <rPr>
        <b/>
        <sz val="11"/>
        <color theme="1"/>
        <rFont val="Calibri"/>
        <family val="2"/>
        <scheme val="minor"/>
      </rPr>
      <t>_</t>
    </r>
    <r>
      <rPr>
        <sz val="11"/>
        <color theme="1"/>
        <rFont val="Calibri"/>
        <family val="2"/>
        <scheme val="minor"/>
      </rPr>
      <t>N)</t>
    </r>
  </si>
  <si>
    <t>S9000-N</t>
  </si>
  <si>
    <r>
      <t>Tarp sutrumpinimų naudoti "+" simbolį. (E</t>
    </r>
    <r>
      <rPr>
        <b/>
        <sz val="11"/>
        <color theme="1"/>
        <rFont val="Calibri"/>
        <family val="2"/>
        <scheme val="minor"/>
      </rPr>
      <t>&amp;</t>
    </r>
    <r>
      <rPr>
        <sz val="11"/>
        <color theme="1"/>
        <rFont val="Calibri"/>
        <family val="2"/>
        <scheme val="minor"/>
      </rPr>
      <t>B S8000-N)</t>
    </r>
  </si>
  <si>
    <t>E+B=S8000-N</t>
  </si>
  <si>
    <t>Po sutrumpinimų dėti lygybės ženklą. (E+ST S7502-G)</t>
  </si>
  <si>
    <t>E+B=S7502-G</t>
  </si>
  <si>
    <t>Rašant spalvą nereikia rašyti "NCS" raidžių(išskyrus kitas paletes, kaip RAL..)</t>
  </si>
  <si>
    <t>S1002-Y</t>
  </si>
  <si>
    <t>Po "S" raidės nededamas tarpas arba brūkšnys. (S_2505-G19Y)</t>
  </si>
  <si>
    <t>S2505-G19Y</t>
  </si>
  <si>
    <t>Rašant blizgumą nereikia tarpo tarp raidžių ir skaičiaus. (gl. 5)</t>
  </si>
  <si>
    <r>
      <t>Tarp apdailos kodo ir blizgumo nereikalingas apatinis brūkšnys. (02.01.20</t>
    </r>
    <r>
      <rPr>
        <b/>
        <sz val="11"/>
        <color theme="1"/>
        <rFont val="Calibri"/>
        <family val="2"/>
        <scheme val="minor"/>
      </rPr>
      <t>_</t>
    </r>
    <r>
      <rPr>
        <sz val="11"/>
        <color theme="1"/>
        <rFont val="Calibri"/>
        <family val="2"/>
        <scheme val="minor"/>
      </rPr>
      <t>gl.5)</t>
    </r>
  </si>
  <si>
    <t>02.01.20 gl.5</t>
  </si>
  <si>
    <r>
      <t>Nereikalingas papildomas taškas. (0</t>
    </r>
    <r>
      <rPr>
        <b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2.01.20 gl.5)</t>
    </r>
  </si>
  <si>
    <r>
      <t xml:space="preserve">Žodis "Walnut" nereikalingas apdailos kode. (20.11.19 gl.10 </t>
    </r>
    <r>
      <rPr>
        <b/>
        <sz val="11"/>
        <color theme="1"/>
        <rFont val="Calibri"/>
        <family val="2"/>
        <scheme val="minor"/>
      </rPr>
      <t>Walnut</t>
    </r>
    <r>
      <rPr>
        <sz val="11"/>
        <color theme="1"/>
        <rFont val="Calibri"/>
        <family val="2"/>
        <scheme val="minor"/>
      </rPr>
      <t>)</t>
    </r>
  </si>
  <si>
    <t>20.11.19 gl.10</t>
  </si>
  <si>
    <r>
      <t>Jei apdaila daroma briaunoms ir plokštumoms, užtenka parašyti tik apdailos kodą (</t>
    </r>
    <r>
      <rPr>
        <b/>
        <sz val="11"/>
        <color theme="1"/>
        <rFont val="Calibri"/>
        <family val="2"/>
        <scheme val="minor"/>
      </rPr>
      <t>E+T+B</t>
    </r>
    <r>
      <rPr>
        <sz val="11"/>
        <color theme="1"/>
        <rFont val="Calibri"/>
        <family val="2"/>
        <scheme val="minor"/>
      </rPr>
      <t>=gl.5)</t>
    </r>
  </si>
  <si>
    <t xml:space="preserve">Sutrumpinimai </t>
  </si>
  <si>
    <t>KL</t>
  </si>
  <si>
    <t>Lakuota pagal nurodyta apdailą</t>
  </si>
  <si>
    <t>GR</t>
  </si>
  <si>
    <t>Gruntuota</t>
  </si>
  <si>
    <t>PUSS</t>
  </si>
  <si>
    <t>Šlifuota</t>
  </si>
  <si>
    <t>UBH</t>
  </si>
  <si>
    <t>Neapdailinta</t>
  </si>
  <si>
    <t>Apdailos pavyzdys</t>
  </si>
  <si>
    <t>10.07.17 gl.5 GR/UBH/KL</t>
  </si>
  <si>
    <t>10.07.17</t>
  </si>
  <si>
    <t>– apdailos kodas</t>
  </si>
  <si>
    <t xml:space="preserve">gl.5 </t>
  </si>
  <si>
    <t>– apdailos blizgumas</t>
  </si>
  <si>
    <r>
      <t>GR</t>
    </r>
    <r>
      <rPr>
        <sz val="12"/>
        <color theme="1"/>
        <rFont val="Calibri"/>
        <family val="2"/>
        <charset val="186"/>
      </rPr>
      <t xml:space="preserve"> </t>
    </r>
  </si>
  <si>
    <t>– Top plokštumos apdaila</t>
  </si>
  <si>
    <t>– Bottom plokštumos apdaila</t>
  </si>
  <si>
    <t>– briaunų apdaila</t>
  </si>
  <si>
    <t>E=gl.5 PU</t>
  </si>
  <si>
    <r>
      <t xml:space="preserve">Žodis "lakas" nėra būtinas apdailos kode. (E=gl.5 PU </t>
    </r>
    <r>
      <rPr>
        <b/>
        <sz val="11"/>
        <color theme="1"/>
        <rFont val="Calibri"/>
        <family val="2"/>
        <scheme val="minor"/>
      </rPr>
      <t>lakas</t>
    </r>
    <r>
      <rPr>
        <sz val="11"/>
        <color theme="1"/>
        <rFont val="Calibri"/>
        <family val="2"/>
        <scheme val="minor"/>
      </rPr>
      <t>)</t>
    </r>
  </si>
  <si>
    <r>
      <t>Dubliuojasi info, naudoti tik sutrumpinimą. (</t>
    </r>
    <r>
      <rPr>
        <b/>
        <sz val="11"/>
        <color theme="1"/>
        <rFont val="Calibri"/>
        <family val="2"/>
        <scheme val="minor"/>
      </rPr>
      <t>Edge</t>
    </r>
    <r>
      <rPr>
        <sz val="11"/>
        <color theme="1"/>
        <rFont val="Calibri"/>
        <family val="2"/>
        <scheme val="minor"/>
      </rPr>
      <t xml:space="preserve"> E=gl.5)</t>
    </r>
  </si>
  <si>
    <t>Briaunos</t>
  </si>
  <si>
    <r>
      <rPr>
        <b/>
        <sz val="11"/>
        <color rgb="FFFF0000"/>
        <rFont val="Calibri"/>
        <family val="2"/>
        <charset val="186"/>
        <scheme val="minor"/>
      </rPr>
      <t>Skaidriai</t>
    </r>
    <r>
      <rPr>
        <b/>
        <sz val="11"/>
        <color theme="1"/>
        <rFont val="Calibri"/>
        <family val="2"/>
        <charset val="186"/>
        <scheme val="minor"/>
      </rPr>
      <t xml:space="preserve"> apdailai</t>
    </r>
  </si>
  <si>
    <r>
      <t xml:space="preserve">Nurodant tik blizgumą, apdaila bus </t>
    </r>
    <r>
      <rPr>
        <b/>
        <sz val="11"/>
        <color rgb="FFFF0000"/>
        <rFont val="Calibri"/>
        <family val="2"/>
        <charset val="186"/>
        <scheme val="minor"/>
      </rPr>
      <t>skaidri</t>
    </r>
  </si>
  <si>
    <t>Top+Edge</t>
  </si>
  <si>
    <r>
      <t xml:space="preserve">Lakuota pagal nurodyta apdailą, jei nenurodyta tada apdaila </t>
    </r>
    <r>
      <rPr>
        <b/>
        <sz val="11"/>
        <color rgb="FFFF0000"/>
        <rFont val="Calibri"/>
        <family val="2"/>
        <charset val="186"/>
        <scheme val="minor"/>
      </rPr>
      <t>gl.5</t>
    </r>
  </si>
  <si>
    <t>Paviršiaus blizgumas1</t>
  </si>
  <si>
    <t>Top paviršius</t>
  </si>
  <si>
    <t>Bottom paviršius</t>
  </si>
  <si>
    <t>Standartinė spalvos</t>
  </si>
  <si>
    <t>S0502-G50Y</t>
  </si>
  <si>
    <t>S1015-Y</t>
  </si>
  <si>
    <t>Spalva pagal RAL paletę</t>
  </si>
  <si>
    <t>S2005-Y50R</t>
  </si>
  <si>
    <t>S2005-G70Y</t>
  </si>
  <si>
    <t>S2311-B86G</t>
  </si>
  <si>
    <t>S2830-Y18R</t>
  </si>
  <si>
    <t>S3020-Y60R</t>
  </si>
  <si>
    <t>S4010-G70Y</t>
  </si>
  <si>
    <t>S5020-G30Y</t>
  </si>
  <si>
    <t>S5504-Y24R</t>
  </si>
  <si>
    <t>S6005-B20G</t>
  </si>
  <si>
    <t>S6502-B</t>
  </si>
  <si>
    <t xml:space="preserve">HUSEBY / FOSS </t>
  </si>
  <si>
    <t>DAŽYMAS</t>
  </si>
  <si>
    <t>STANDARTINĖS APDAILOS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</si>
</sst>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b/>
      <sz val="12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  <charset val="186"/>
    </font>
    <font>
      <b/>
      <sz val="12"/>
      <color theme="1"/>
      <name val="Calibri"/>
      <family val="2"/>
      <charset val="186"/>
    </font>
    <font>
      <b/>
      <sz val="12"/>
      <color rgb="FFFF0000"/>
      <name val="Calibri"/>
      <family val="2"/>
      <charset val="186"/>
    </font>
    <font>
      <sz val="12"/>
      <color theme="1"/>
      <name val="Calibri"/>
      <family val="2"/>
      <charset val="186"/>
    </font>
    <font>
      <b/>
      <sz val="11"/>
      <color theme="1"/>
      <name val="Calibri"/>
      <family val="2"/>
      <charset val="186"/>
      <scheme val="minor"/>
    </font>
    <font>
      <b/>
      <sz val="11"/>
      <color rgb="FFFF0000"/>
      <name val="Calibri"/>
      <family val="2"/>
      <charset val="186"/>
      <scheme val="minor"/>
    </font>
    <font>
      <b/>
      <sz val="16"/>
      <color theme="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/>
    <xf numFmtId="0" fontId="0" fillId="0" borderId="2" xfId="0" applyBorder="1"/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0" fillId="0" borderId="12" xfId="0" applyNumberFormat="1" applyBorder="1"/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49" fontId="0" fillId="0" borderId="1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16" xfId="0" applyBorder="1"/>
    <xf numFmtId="0" fontId="0" fillId="0" borderId="1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3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/>
    <xf numFmtId="0" fontId="3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4" fillId="0" borderId="31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49" fontId="7" fillId="0" borderId="11" xfId="0" applyNumberFormat="1" applyFont="1" applyBorder="1" applyAlignment="1">
      <alignment horizontal="right"/>
    </xf>
    <xf numFmtId="0" fontId="7" fillId="0" borderId="1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1" fillId="0" borderId="25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9" fillId="0" borderId="17" xfId="0" applyFont="1" applyBorder="1"/>
    <xf numFmtId="0" fontId="9" fillId="0" borderId="5" xfId="0" applyFont="1" applyBorder="1" applyAlignment="1">
      <alignment wrapText="1"/>
    </xf>
    <xf numFmtId="49" fontId="0" fillId="0" borderId="11" xfId="0" applyNumberForma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0" borderId="31" xfId="0" applyFont="1" applyBorder="1" applyAlignment="1">
      <alignment vertical="center" wrapText="1"/>
    </xf>
    <xf numFmtId="0" fontId="0" fillId="0" borderId="43" xfId="0" applyBorder="1"/>
    <xf numFmtId="0" fontId="0" fillId="0" borderId="17" xfId="0" applyBorder="1"/>
    <xf numFmtId="0" fontId="0" fillId="0" borderId="47" xfId="0" applyBorder="1"/>
    <xf numFmtId="0" fontId="1" fillId="4" borderId="6" xfId="0" applyFont="1" applyFill="1" applyBorder="1" applyAlignment="1">
      <alignment horizontal="center" vertical="center" wrapText="1"/>
    </xf>
    <xf numFmtId="0" fontId="0" fillId="0" borderId="48" xfId="0" applyBorder="1"/>
    <xf numFmtId="0" fontId="11" fillId="0" borderId="3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0" fillId="3" borderId="33" xfId="0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3" borderId="34" xfId="0" applyFill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3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6" fillId="0" borderId="1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3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9"/>
  <sheetViews>
    <sheetView workbookViewId="0">
      <selection activeCell="C13" sqref="C13"/>
    </sheetView>
  </sheetViews>
  <sheetFormatPr defaultRowHeight="15" x14ac:dyDescent="0.25"/>
  <cols>
    <col min="1" max="1" width="15.42578125" customWidth="1"/>
    <col min="2" max="2" width="33.140625" customWidth="1"/>
    <col min="3" max="3" width="22.28515625" bestFit="1" customWidth="1"/>
    <col min="4" max="4" width="38.85546875" bestFit="1" customWidth="1"/>
    <col min="5" max="5" width="25" customWidth="1"/>
  </cols>
  <sheetData>
    <row r="1" spans="1:5" ht="21.75" thickBot="1" x14ac:dyDescent="0.4">
      <c r="A1" s="84" t="s">
        <v>218</v>
      </c>
      <c r="B1" s="87"/>
      <c r="C1" s="87"/>
      <c r="D1" s="87"/>
      <c r="E1" s="88"/>
    </row>
    <row r="2" spans="1:5" ht="31.5" customHeight="1" x14ac:dyDescent="0.25">
      <c r="A2" s="3" t="s">
        <v>0</v>
      </c>
      <c r="B2" s="5" t="s">
        <v>1</v>
      </c>
      <c r="C2" s="7" t="s">
        <v>2</v>
      </c>
      <c r="D2" s="5" t="s">
        <v>3</v>
      </c>
      <c r="E2" s="69" t="s">
        <v>4</v>
      </c>
    </row>
    <row r="3" spans="1:5" ht="31.5" customHeight="1" thickBot="1" x14ac:dyDescent="0.3">
      <c r="A3" s="4" t="s">
        <v>5</v>
      </c>
      <c r="B3" s="6" t="str">
        <f>IF(A3&lt;&gt;"", "=", "")</f>
        <v>=</v>
      </c>
      <c r="C3" s="8" t="s">
        <v>47</v>
      </c>
      <c r="D3" s="6" t="s">
        <v>13</v>
      </c>
      <c r="E3" s="68" t="str">
        <f>IF(C3="",CONCATENATE(A3, B3,  C3, "", D3),CONCATENATE(A3, B3,  C3, " ", D3))</f>
        <v>B+H=31.01.17 gl.15</v>
      </c>
    </row>
    <row r="4" spans="1:5" x14ac:dyDescent="0.25">
      <c r="A4" t="str">
        <f>IFERROR(VLOOKUP(A3,Paaiškinimas!A1:K59,2,),"Visi paviršiai")</f>
        <v>Bottom+Hole</v>
      </c>
      <c r="B4" t="str">
        <f>IF(B3&lt;&gt;"", "Reikalingas, jei nurodomi paviršiai", "")</f>
        <v>Reikalingas, jei nurodomi paviršiai</v>
      </c>
      <c r="C4" t="str">
        <f>IFERROR(VLOOKUP(C3,Paaiškinimas!G:H,2,),"Skaidriai apdailai")</f>
        <v>Balinta</v>
      </c>
      <c r="D4" t="str">
        <f>IF(D3&lt;&gt;"", "Nurodant tik blizgumą, apdaila bus skaidri", "Skaidriai apdailai")</f>
        <v>Nurodant tik blizgumą, apdaila bus skaidri</v>
      </c>
    </row>
    <row r="5" spans="1:5" ht="15.75" thickBot="1" x14ac:dyDescent="0.3">
      <c r="B5" s="2"/>
      <c r="C5" s="1"/>
    </row>
    <row r="6" spans="1:5" ht="21.75" thickBot="1" x14ac:dyDescent="0.4">
      <c r="A6" s="84" t="s">
        <v>216</v>
      </c>
      <c r="B6" s="85"/>
      <c r="C6" s="85"/>
      <c r="D6" s="85"/>
      <c r="E6" s="86"/>
    </row>
    <row r="7" spans="1:5" ht="31.5" customHeight="1" x14ac:dyDescent="0.25">
      <c r="A7" s="7" t="s">
        <v>2</v>
      </c>
      <c r="B7" s="5" t="s">
        <v>200</v>
      </c>
      <c r="C7" s="7" t="s">
        <v>201</v>
      </c>
      <c r="D7" s="5" t="s">
        <v>194</v>
      </c>
      <c r="E7" s="69" t="s">
        <v>4</v>
      </c>
    </row>
    <row r="8" spans="1:5" ht="31.5" customHeight="1" thickBot="1" x14ac:dyDescent="0.3">
      <c r="A8" s="4"/>
      <c r="B8" s="67" t="s">
        <v>177</v>
      </c>
      <c r="C8" s="8" t="s">
        <v>177</v>
      </c>
      <c r="D8" s="6" t="s">
        <v>177</v>
      </c>
      <c r="E8" s="68" t="str">
        <f>CONCATENATE(A8," ", B8, "/", C8,"/", D8)</f>
        <v xml:space="preserve"> PUSS/PUSS/PUSS</v>
      </c>
    </row>
    <row r="9" spans="1:5" ht="15.75" customHeight="1" x14ac:dyDescent="0.25">
      <c r="B9" t="str">
        <f>IFERROR(VLOOKUP(B8,Paaiškinimas!A:B,2),"Skaidriai apdailai")</f>
        <v>Šlifuota</v>
      </c>
      <c r="C9" t="str">
        <f>IFERROR(VLOOKUP(C8,Paaiškinimas!A:B,2),"Skaidriai apdailai")</f>
        <v>Šlifuota</v>
      </c>
      <c r="D9" t="str">
        <f>IFERROR(VLOOKUP(D8,Paaiškinimas!A:B,2),"Skaidriai apdailai")</f>
        <v>Šlifuota</v>
      </c>
    </row>
    <row r="10" spans="1:5" ht="15.75" thickBot="1" x14ac:dyDescent="0.3"/>
    <row r="11" spans="1:5" ht="21.75" thickBot="1" x14ac:dyDescent="0.4">
      <c r="A11" s="84" t="s">
        <v>217</v>
      </c>
      <c r="B11" s="87"/>
      <c r="C11" s="87"/>
      <c r="D11" s="88"/>
    </row>
    <row r="12" spans="1:5" ht="31.5" customHeight="1" x14ac:dyDescent="0.25">
      <c r="A12" s="3" t="s">
        <v>0</v>
      </c>
      <c r="B12" s="5" t="s">
        <v>1</v>
      </c>
      <c r="C12" s="7" t="s">
        <v>2</v>
      </c>
      <c r="D12" s="5" t="s">
        <v>4</v>
      </c>
    </row>
    <row r="13" spans="1:5" ht="31.5" customHeight="1" thickBot="1" x14ac:dyDescent="0.3">
      <c r="A13" s="4" t="s">
        <v>12</v>
      </c>
      <c r="B13" s="6" t="str">
        <f>IF(A13&lt;&gt;"", "=", "")</f>
        <v>=</v>
      </c>
      <c r="C13" s="8" t="s">
        <v>207</v>
      </c>
      <c r="D13" s="82" t="str">
        <f>IF(C13="",CONCATENATE(A13, B13,  C13, "",),CONCATENATE(A13, B13,  C13, " ",))</f>
        <v xml:space="preserve">E=S2005-G70Y </v>
      </c>
    </row>
    <row r="14" spans="1:5" x14ac:dyDescent="0.25">
      <c r="A14" t="str">
        <f>IFERROR(VLOOKUP(A13,Paaiškinimas!A11:K69,2,),"Visi paviršiai")</f>
        <v>Visi paviršiai</v>
      </c>
      <c r="B14" t="str">
        <f>IF(B13&lt;&gt;"", "Reikalingas, jei nurodomi paviršiai", "")</f>
        <v>Reikalingas, jei nurodomi paviršiai</v>
      </c>
      <c r="C14" t="str">
        <f>IFERROR(VLOOKUP(C13,Paaiškinimas!E:F,2),"Skaidriai apdailai")</f>
        <v>Spalva pagal NCS paletę</v>
      </c>
    </row>
    <row r="17" spans="2:3" x14ac:dyDescent="0.25">
      <c r="B17" s="2"/>
      <c r="C17" s="1"/>
    </row>
    <row r="18" spans="2:3" x14ac:dyDescent="0.25">
      <c r="B18" s="2"/>
      <c r="C18" s="1"/>
    </row>
    <row r="19" spans="2:3" x14ac:dyDescent="0.25">
      <c r="B19" s="2"/>
      <c r="C19" s="1"/>
    </row>
  </sheetData>
  <mergeCells count="3">
    <mergeCell ref="A6:E6"/>
    <mergeCell ref="A1:E1"/>
    <mergeCell ref="A11:D11"/>
  </mergeCells>
  <dataValidations count="1">
    <dataValidation type="list" allowBlank="1" showInputMessage="1" showErrorMessage="1" sqref="D3" xr:uid="{75AECDEF-9297-487C-B9B4-DB9719F12BB8}">
      <formula1>IF(OR(C3="S0500-N",C3="Ral1036"),Paviršiaus_blizgumas,Paviršiaus_blizgumas1)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173AE95-E92E-40D7-96D0-C0322F00FC14}">
          <x14:formula1>
            <xm:f>Paaiškinimas!$A$2:$A$10</xm:f>
          </x14:formula1>
          <xm:sqref>A3 A13</xm:sqref>
        </x14:dataValidation>
        <x14:dataValidation type="list" allowBlank="1" showInputMessage="1" showErrorMessage="1" xr:uid="{C396C86C-0261-4CE8-82B2-F6599EB2D195}">
          <x14:formula1>
            <xm:f>Paaiškinimas!$A$11:$A$14</xm:f>
          </x14:formula1>
          <xm:sqref>B8:D8</xm:sqref>
        </x14:dataValidation>
        <x14:dataValidation type="list" allowBlank="1" showInputMessage="1" showErrorMessage="1" xr:uid="{2E4A482F-0DFA-40AD-B950-D0D96587CA5C}">
          <x14:formula1>
            <xm:f>Paaiškinimas!$G$2:$G$5</xm:f>
          </x14:formula1>
          <xm:sqref>A8</xm:sqref>
        </x14:dataValidation>
        <x14:dataValidation type="list" allowBlank="1" showInputMessage="1" showErrorMessage="1" xr:uid="{9ACE9ED2-B144-4B39-ADFC-3DA2475E983D}">
          <x14:formula1>
            <xm:f>Paaiškinimas!$G$2:$G$57</xm:f>
          </x14:formula1>
          <xm:sqref>C3</xm:sqref>
        </x14:dataValidation>
        <x14:dataValidation type="list" allowBlank="1" showInputMessage="1" showErrorMessage="1" xr:uid="{201E9AE1-3637-4E52-9420-14D93BB2B04A}">
          <x14:formula1>
            <xm:f>Paaiškinimas!$E$2:$E$16</xm:f>
          </x14:formula1>
          <xm:sqref>C13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57"/>
  <sheetViews>
    <sheetView workbookViewId="0">
      <selection activeCell="E2" sqref="E2:F16"/>
    </sheetView>
  </sheetViews>
  <sheetFormatPr defaultRowHeight="15" x14ac:dyDescent="0.25"/>
  <cols>
    <col min="1" max="1" width="16.28515625" customWidth="1"/>
    <col min="2" max="2" width="28.85546875" customWidth="1"/>
    <col min="3" max="3" width="14.42578125" customWidth="1"/>
    <col min="4" max="4" width="37.42578125" customWidth="1"/>
    <col min="5" max="5" width="16.140625" customWidth="1"/>
    <col min="6" max="6" width="23.42578125" customWidth="1"/>
    <col min="7" max="7" width="12.7109375" style="20" customWidth="1"/>
    <col min="8" max="8" width="26.42578125" customWidth="1"/>
    <col min="9" max="9" width="13.28515625" hidden="1" customWidth="1"/>
    <col min="10" max="10" width="13.85546875" customWidth="1"/>
    <col min="11" max="11" width="25" customWidth="1"/>
  </cols>
  <sheetData>
    <row r="1" spans="1:11" ht="32.25" customHeight="1" thickBot="1" x14ac:dyDescent="0.3">
      <c r="A1" s="27" t="s">
        <v>39</v>
      </c>
      <c r="B1" s="28" t="s">
        <v>40</v>
      </c>
      <c r="C1" s="12"/>
      <c r="D1" s="13" t="s">
        <v>40</v>
      </c>
      <c r="E1" s="17" t="s">
        <v>202</v>
      </c>
      <c r="F1" s="21" t="s">
        <v>40</v>
      </c>
      <c r="G1" s="17" t="s">
        <v>2</v>
      </c>
      <c r="H1" s="21" t="s">
        <v>40</v>
      </c>
      <c r="I1" s="78" t="s">
        <v>199</v>
      </c>
      <c r="J1" s="78" t="s">
        <v>3</v>
      </c>
      <c r="K1" s="26" t="s">
        <v>40</v>
      </c>
    </row>
    <row r="2" spans="1:11" ht="15.75" thickBot="1" x14ac:dyDescent="0.3">
      <c r="A2" s="29"/>
      <c r="B2" s="70" t="s">
        <v>123</v>
      </c>
      <c r="C2" s="15" t="s">
        <v>6</v>
      </c>
      <c r="D2" s="16" t="s">
        <v>38</v>
      </c>
      <c r="E2" s="22" t="s">
        <v>121</v>
      </c>
      <c r="F2" s="80" t="s">
        <v>205</v>
      </c>
      <c r="G2" s="22"/>
      <c r="H2" s="70" t="s">
        <v>195</v>
      </c>
      <c r="I2" s="23" t="s">
        <v>7</v>
      </c>
      <c r="J2" s="75"/>
      <c r="K2" s="89" t="s">
        <v>196</v>
      </c>
    </row>
    <row r="3" spans="1:11" x14ac:dyDescent="0.25">
      <c r="A3" s="11" t="s">
        <v>8</v>
      </c>
      <c r="B3" s="9" t="s">
        <v>31</v>
      </c>
      <c r="E3" s="83" t="s">
        <v>120</v>
      </c>
      <c r="F3" s="79" t="s">
        <v>122</v>
      </c>
      <c r="G3" s="18" t="s">
        <v>41</v>
      </c>
      <c r="H3" s="14" t="s">
        <v>95</v>
      </c>
      <c r="I3" s="24" t="s">
        <v>11</v>
      </c>
      <c r="J3" s="76" t="s">
        <v>7</v>
      </c>
      <c r="K3" s="90"/>
    </row>
    <row r="4" spans="1:11" x14ac:dyDescent="0.25">
      <c r="A4" s="11" t="s">
        <v>10</v>
      </c>
      <c r="B4" s="9" t="s">
        <v>32</v>
      </c>
      <c r="E4" s="74" t="s">
        <v>203</v>
      </c>
      <c r="F4" s="9" t="s">
        <v>122</v>
      </c>
      <c r="G4" s="18" t="s">
        <v>42</v>
      </c>
      <c r="H4" s="14" t="s">
        <v>96</v>
      </c>
      <c r="I4" s="24" t="s">
        <v>13</v>
      </c>
      <c r="J4" s="76" t="s">
        <v>11</v>
      </c>
      <c r="K4" s="90"/>
    </row>
    <row r="5" spans="1:11" ht="15.75" thickBot="1" x14ac:dyDescent="0.3">
      <c r="A5" s="11" t="s">
        <v>12</v>
      </c>
      <c r="B5" s="9" t="s">
        <v>33</v>
      </c>
      <c r="E5" s="18" t="s">
        <v>204</v>
      </c>
      <c r="F5" s="9" t="s">
        <v>122</v>
      </c>
      <c r="G5" s="18" t="s">
        <v>43</v>
      </c>
      <c r="H5" s="14" t="s">
        <v>97</v>
      </c>
      <c r="I5" s="25" t="s">
        <v>15</v>
      </c>
      <c r="J5" s="77" t="s">
        <v>13</v>
      </c>
      <c r="K5" s="91"/>
    </row>
    <row r="6" spans="1:11" ht="15.75" thickBot="1" x14ac:dyDescent="0.3">
      <c r="A6" s="11" t="s">
        <v>14</v>
      </c>
      <c r="B6" s="9" t="s">
        <v>34</v>
      </c>
      <c r="E6" s="18" t="s">
        <v>116</v>
      </c>
      <c r="F6" s="9" t="s">
        <v>122</v>
      </c>
      <c r="G6" s="18" t="s">
        <v>44</v>
      </c>
      <c r="H6" s="14" t="s">
        <v>98</v>
      </c>
      <c r="J6" s="45" t="s">
        <v>15</v>
      </c>
    </row>
    <row r="7" spans="1:11" x14ac:dyDescent="0.25">
      <c r="A7" s="11" t="s">
        <v>16</v>
      </c>
      <c r="B7" s="9" t="s">
        <v>197</v>
      </c>
      <c r="E7" s="74" t="s">
        <v>206</v>
      </c>
      <c r="F7" s="9" t="s">
        <v>122</v>
      </c>
      <c r="G7" s="18" t="s">
        <v>45</v>
      </c>
      <c r="H7" s="14" t="s">
        <v>112</v>
      </c>
    </row>
    <row r="8" spans="1:11" x14ac:dyDescent="0.25">
      <c r="A8" s="11" t="s">
        <v>5</v>
      </c>
      <c r="B8" s="9" t="s">
        <v>35</v>
      </c>
      <c r="E8" s="74" t="s">
        <v>207</v>
      </c>
      <c r="F8" s="9" t="s">
        <v>122</v>
      </c>
      <c r="G8" s="18" t="s">
        <v>46</v>
      </c>
      <c r="H8" s="14" t="s">
        <v>112</v>
      </c>
    </row>
    <row r="9" spans="1:11" x14ac:dyDescent="0.25">
      <c r="A9" s="11" t="s">
        <v>17</v>
      </c>
      <c r="B9" s="9" t="s">
        <v>36</v>
      </c>
      <c r="E9" s="18" t="s">
        <v>208</v>
      </c>
      <c r="F9" s="9" t="s">
        <v>122</v>
      </c>
      <c r="G9" s="72" t="s">
        <v>47</v>
      </c>
      <c r="H9" s="73" t="s">
        <v>112</v>
      </c>
    </row>
    <row r="10" spans="1:11" ht="15.75" thickBot="1" x14ac:dyDescent="0.3">
      <c r="A10" s="30" t="s">
        <v>18</v>
      </c>
      <c r="B10" s="10" t="s">
        <v>37</v>
      </c>
      <c r="E10" s="18" t="s">
        <v>209</v>
      </c>
      <c r="F10" s="9" t="s">
        <v>122</v>
      </c>
      <c r="G10" s="18" t="s">
        <v>48</v>
      </c>
      <c r="H10" s="14" t="s">
        <v>112</v>
      </c>
    </row>
    <row r="11" spans="1:11" ht="28.5" customHeight="1" x14ac:dyDescent="0.25">
      <c r="A11" s="60" t="s">
        <v>173</v>
      </c>
      <c r="B11" s="71" t="s">
        <v>198</v>
      </c>
      <c r="E11" s="18" t="s">
        <v>210</v>
      </c>
      <c r="F11" s="9" t="s">
        <v>122</v>
      </c>
      <c r="G11" s="18" t="s">
        <v>49</v>
      </c>
      <c r="H11" s="14" t="s">
        <v>112</v>
      </c>
    </row>
    <row r="12" spans="1:11" x14ac:dyDescent="0.25">
      <c r="A12" s="61" t="s">
        <v>175</v>
      </c>
      <c r="B12" s="39" t="s">
        <v>176</v>
      </c>
      <c r="E12" s="18" t="s">
        <v>211</v>
      </c>
      <c r="F12" s="9" t="s">
        <v>122</v>
      </c>
      <c r="G12" s="18" t="s">
        <v>50</v>
      </c>
      <c r="H12" s="14" t="s">
        <v>116</v>
      </c>
    </row>
    <row r="13" spans="1:11" x14ac:dyDescent="0.25">
      <c r="A13" s="61" t="s">
        <v>177</v>
      </c>
      <c r="B13" s="39" t="s">
        <v>178</v>
      </c>
      <c r="E13" s="18" t="s">
        <v>212</v>
      </c>
      <c r="F13" s="9" t="s">
        <v>122</v>
      </c>
      <c r="G13" s="18" t="s">
        <v>51</v>
      </c>
      <c r="H13" s="14" t="s">
        <v>120</v>
      </c>
    </row>
    <row r="14" spans="1:11" ht="15.75" thickBot="1" x14ac:dyDescent="0.3">
      <c r="A14" s="63" t="s">
        <v>179</v>
      </c>
      <c r="B14" s="44" t="s">
        <v>180</v>
      </c>
      <c r="E14" s="18" t="s">
        <v>213</v>
      </c>
      <c r="F14" s="9" t="s">
        <v>122</v>
      </c>
      <c r="G14" s="18" t="s">
        <v>52</v>
      </c>
      <c r="H14" s="14" t="s">
        <v>119</v>
      </c>
    </row>
    <row r="15" spans="1:11" x14ac:dyDescent="0.25">
      <c r="E15" s="18" t="s">
        <v>214</v>
      </c>
      <c r="F15" s="9" t="s">
        <v>122</v>
      </c>
      <c r="G15" s="18" t="s">
        <v>53</v>
      </c>
      <c r="H15" s="14" t="s">
        <v>118</v>
      </c>
    </row>
    <row r="16" spans="1:11" ht="15.75" thickBot="1" x14ac:dyDescent="0.3">
      <c r="E16" s="19" t="s">
        <v>215</v>
      </c>
      <c r="F16" s="10" t="s">
        <v>122</v>
      </c>
      <c r="G16" s="18" t="s">
        <v>54</v>
      </c>
      <c r="H16" s="14" t="s">
        <v>98</v>
      </c>
    </row>
    <row r="17" spans="6:8" x14ac:dyDescent="0.25">
      <c r="F17" s="81"/>
      <c r="G17" s="18" t="s">
        <v>55</v>
      </c>
      <c r="H17" s="14" t="s">
        <v>98</v>
      </c>
    </row>
    <row r="18" spans="6:8" x14ac:dyDescent="0.25">
      <c r="F18" s="81"/>
      <c r="G18" s="18" t="s">
        <v>56</v>
      </c>
      <c r="H18" s="9" t="s">
        <v>112</v>
      </c>
    </row>
    <row r="19" spans="6:8" x14ac:dyDescent="0.25">
      <c r="G19" s="18" t="s">
        <v>57</v>
      </c>
      <c r="H19" s="9" t="s">
        <v>98</v>
      </c>
    </row>
    <row r="20" spans="6:8" x14ac:dyDescent="0.25">
      <c r="G20" s="18" t="s">
        <v>58</v>
      </c>
      <c r="H20" s="9" t="s">
        <v>112</v>
      </c>
    </row>
    <row r="21" spans="6:8" x14ac:dyDescent="0.25">
      <c r="G21" s="18" t="s">
        <v>59</v>
      </c>
      <c r="H21" s="9" t="s">
        <v>98</v>
      </c>
    </row>
    <row r="22" spans="6:8" x14ac:dyDescent="0.25">
      <c r="G22" s="18" t="s">
        <v>9</v>
      </c>
      <c r="H22" s="9" t="s">
        <v>99</v>
      </c>
    </row>
    <row r="23" spans="6:8" x14ac:dyDescent="0.25">
      <c r="G23" s="18" t="s">
        <v>60</v>
      </c>
      <c r="H23" s="9" t="s">
        <v>98</v>
      </c>
    </row>
    <row r="24" spans="6:8" x14ac:dyDescent="0.25">
      <c r="G24" s="18" t="s">
        <v>61</v>
      </c>
      <c r="H24" s="9" t="s">
        <v>112</v>
      </c>
    </row>
    <row r="25" spans="6:8" x14ac:dyDescent="0.25">
      <c r="G25" s="18" t="s">
        <v>62</v>
      </c>
      <c r="H25" s="9" t="s">
        <v>112</v>
      </c>
    </row>
    <row r="26" spans="6:8" x14ac:dyDescent="0.25">
      <c r="G26" s="18" t="s">
        <v>63</v>
      </c>
      <c r="H26" s="9" t="s">
        <v>98</v>
      </c>
    </row>
    <row r="27" spans="6:8" x14ac:dyDescent="0.25">
      <c r="G27" s="18" t="s">
        <v>64</v>
      </c>
      <c r="H27" s="9" t="s">
        <v>117</v>
      </c>
    </row>
    <row r="28" spans="6:8" x14ac:dyDescent="0.25">
      <c r="G28" s="18" t="s">
        <v>65</v>
      </c>
      <c r="H28" s="9" t="s">
        <v>116</v>
      </c>
    </row>
    <row r="29" spans="6:8" x14ac:dyDescent="0.25">
      <c r="G29" s="18" t="s">
        <v>66</v>
      </c>
      <c r="H29" s="9" t="s">
        <v>115</v>
      </c>
    </row>
    <row r="30" spans="6:8" x14ac:dyDescent="0.25">
      <c r="G30" s="18" t="s">
        <v>67</v>
      </c>
      <c r="H30" s="9" t="s">
        <v>112</v>
      </c>
    </row>
    <row r="31" spans="6:8" x14ac:dyDescent="0.25">
      <c r="G31" s="18" t="s">
        <v>68</v>
      </c>
      <c r="H31" s="9" t="s">
        <v>112</v>
      </c>
    </row>
    <row r="32" spans="6:8" x14ac:dyDescent="0.25">
      <c r="G32" s="18" t="s">
        <v>69</v>
      </c>
      <c r="H32" s="9" t="s">
        <v>112</v>
      </c>
    </row>
    <row r="33" spans="7:8" x14ac:dyDescent="0.25">
      <c r="G33" s="18" t="s">
        <v>70</v>
      </c>
      <c r="H33" s="9" t="s">
        <v>104</v>
      </c>
    </row>
    <row r="34" spans="7:8" x14ac:dyDescent="0.25">
      <c r="G34" s="18" t="s">
        <v>71</v>
      </c>
      <c r="H34" s="9" t="s">
        <v>115</v>
      </c>
    </row>
    <row r="35" spans="7:8" x14ac:dyDescent="0.25">
      <c r="G35" s="18" t="s">
        <v>72</v>
      </c>
      <c r="H35" s="9" t="s">
        <v>98</v>
      </c>
    </row>
    <row r="36" spans="7:8" x14ac:dyDescent="0.25">
      <c r="G36" s="18" t="s">
        <v>73</v>
      </c>
      <c r="H36" s="9" t="s">
        <v>114</v>
      </c>
    </row>
    <row r="37" spans="7:8" x14ac:dyDescent="0.25">
      <c r="G37" s="18" t="s">
        <v>74</v>
      </c>
      <c r="H37" s="9" t="s">
        <v>112</v>
      </c>
    </row>
    <row r="38" spans="7:8" x14ac:dyDescent="0.25">
      <c r="G38" s="18" t="s">
        <v>75</v>
      </c>
      <c r="H38" s="9" t="s">
        <v>113</v>
      </c>
    </row>
    <row r="39" spans="7:8" x14ac:dyDescent="0.25">
      <c r="G39" s="18" t="s">
        <v>76</v>
      </c>
      <c r="H39" s="9" t="s">
        <v>104</v>
      </c>
    </row>
    <row r="40" spans="7:8" x14ac:dyDescent="0.25">
      <c r="G40" s="18" t="s">
        <v>77</v>
      </c>
      <c r="H40" s="9" t="s">
        <v>112</v>
      </c>
    </row>
    <row r="41" spans="7:8" x14ac:dyDescent="0.25">
      <c r="G41" s="18" t="s">
        <v>78</v>
      </c>
      <c r="H41" s="9" t="s">
        <v>98</v>
      </c>
    </row>
    <row r="42" spans="7:8" x14ac:dyDescent="0.25">
      <c r="G42" s="18" t="s">
        <v>79</v>
      </c>
      <c r="H42" s="9" t="s">
        <v>98</v>
      </c>
    </row>
    <row r="43" spans="7:8" x14ac:dyDescent="0.25">
      <c r="G43" s="18" t="s">
        <v>80</v>
      </c>
      <c r="H43" s="9" t="s">
        <v>111</v>
      </c>
    </row>
    <row r="44" spans="7:8" x14ac:dyDescent="0.25">
      <c r="G44" s="18" t="s">
        <v>81</v>
      </c>
      <c r="H44" s="9" t="s">
        <v>110</v>
      </c>
    </row>
    <row r="45" spans="7:8" x14ac:dyDescent="0.25">
      <c r="G45" s="18" t="s">
        <v>82</v>
      </c>
      <c r="H45" s="9" t="s">
        <v>109</v>
      </c>
    </row>
    <row r="46" spans="7:8" x14ac:dyDescent="0.25">
      <c r="G46" s="18" t="s">
        <v>83</v>
      </c>
      <c r="H46" s="9" t="s">
        <v>107</v>
      </c>
    </row>
    <row r="47" spans="7:8" x14ac:dyDescent="0.25">
      <c r="G47" s="18" t="s">
        <v>84</v>
      </c>
      <c r="H47" s="9" t="s">
        <v>108</v>
      </c>
    </row>
    <row r="48" spans="7:8" x14ac:dyDescent="0.25">
      <c r="G48" s="18" t="s">
        <v>85</v>
      </c>
      <c r="H48" s="9" t="s">
        <v>106</v>
      </c>
    </row>
    <row r="49" spans="7:8" x14ac:dyDescent="0.25">
      <c r="G49" s="18" t="s">
        <v>86</v>
      </c>
      <c r="H49" s="9" t="s">
        <v>105</v>
      </c>
    </row>
    <row r="50" spans="7:8" x14ac:dyDescent="0.25">
      <c r="G50" s="18" t="s">
        <v>87</v>
      </c>
      <c r="H50" s="9" t="s">
        <v>104</v>
      </c>
    </row>
    <row r="51" spans="7:8" x14ac:dyDescent="0.25">
      <c r="G51" s="18" t="s">
        <v>88</v>
      </c>
      <c r="H51" s="9" t="s">
        <v>103</v>
      </c>
    </row>
    <row r="52" spans="7:8" x14ac:dyDescent="0.25">
      <c r="G52" s="18" t="s">
        <v>89</v>
      </c>
      <c r="H52" s="9" t="s">
        <v>102</v>
      </c>
    </row>
    <row r="53" spans="7:8" x14ac:dyDescent="0.25">
      <c r="G53" s="18" t="s">
        <v>90</v>
      </c>
      <c r="H53" s="9" t="s">
        <v>101</v>
      </c>
    </row>
    <row r="54" spans="7:8" x14ac:dyDescent="0.25">
      <c r="G54" s="18" t="s">
        <v>91</v>
      </c>
      <c r="H54" s="9" t="s">
        <v>98</v>
      </c>
    </row>
    <row r="55" spans="7:8" x14ac:dyDescent="0.25">
      <c r="G55" s="18" t="s">
        <v>92</v>
      </c>
      <c r="H55" s="9" t="s">
        <v>100</v>
      </c>
    </row>
    <row r="56" spans="7:8" x14ac:dyDescent="0.25">
      <c r="G56" s="18" t="s">
        <v>93</v>
      </c>
      <c r="H56" s="9" t="s">
        <v>98</v>
      </c>
    </row>
    <row r="57" spans="7:8" ht="15.75" thickBot="1" x14ac:dyDescent="0.3">
      <c r="G57" s="19" t="s">
        <v>94</v>
      </c>
      <c r="H57" s="10" t="s">
        <v>98</v>
      </c>
    </row>
  </sheetData>
  <mergeCells count="1">
    <mergeCell ref="K2:K5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3EA8-6427-4B12-B743-BCBD0443D350}">
  <dimension ref="B1:T43"/>
  <sheetViews>
    <sheetView tabSelected="1" workbookViewId="0">
      <selection activeCell="J18" sqref="J18"/>
    </sheetView>
  </sheetViews>
  <sheetFormatPr defaultRowHeight="15" x14ac:dyDescent="0.25"/>
  <cols>
    <col min="1" max="1" width="2.5703125" customWidth="1"/>
    <col min="2" max="2" width="7" customWidth="1"/>
    <col min="3" max="3" width="15.5703125" customWidth="1"/>
    <col min="4" max="4" width="20.28515625" customWidth="1"/>
    <col min="5" max="8" width="10.7109375" customWidth="1"/>
    <col min="9" max="9" width="9.7109375" customWidth="1"/>
    <col min="10" max="10" width="19" customWidth="1"/>
    <col min="11" max="11" width="3" customWidth="1"/>
    <col min="12" max="12" width="20.5703125" customWidth="1"/>
  </cols>
  <sheetData>
    <row r="1" spans="2:10" ht="15.75" thickBot="1" x14ac:dyDescent="0.3"/>
    <row r="2" spans="2:10" ht="15.75" thickBot="1" x14ac:dyDescent="0.3">
      <c r="B2" s="95" t="s">
        <v>125</v>
      </c>
      <c r="C2" s="96"/>
      <c r="D2" s="97"/>
      <c r="I2" s="31" t="s">
        <v>126</v>
      </c>
      <c r="J2" s="31" t="s">
        <v>127</v>
      </c>
    </row>
    <row r="3" spans="2:10" ht="21.75" customHeight="1" thickBot="1" x14ac:dyDescent="0.3">
      <c r="B3" s="31" t="s">
        <v>126</v>
      </c>
      <c r="C3" s="31" t="s">
        <v>39</v>
      </c>
      <c r="D3" s="31" t="s">
        <v>128</v>
      </c>
      <c r="I3" s="32">
        <v>1</v>
      </c>
      <c r="J3" s="33" t="s">
        <v>129</v>
      </c>
    </row>
    <row r="4" spans="2:10" x14ac:dyDescent="0.25">
      <c r="B4" s="34">
        <v>1</v>
      </c>
      <c r="C4" s="32" t="s">
        <v>12</v>
      </c>
      <c r="D4" s="33" t="s">
        <v>130</v>
      </c>
      <c r="I4" s="35">
        <v>2</v>
      </c>
      <c r="J4" s="36" t="s">
        <v>131</v>
      </c>
    </row>
    <row r="5" spans="2:10" x14ac:dyDescent="0.25">
      <c r="B5" s="37">
        <v>2</v>
      </c>
      <c r="C5" s="35" t="s">
        <v>14</v>
      </c>
      <c r="D5" s="38" t="s">
        <v>34</v>
      </c>
      <c r="I5" s="35">
        <v>3</v>
      </c>
      <c r="J5" s="39" t="s">
        <v>132</v>
      </c>
    </row>
    <row r="6" spans="2:10" x14ac:dyDescent="0.25">
      <c r="B6" s="37">
        <v>3</v>
      </c>
      <c r="C6" s="35" t="s">
        <v>133</v>
      </c>
      <c r="D6" s="38" t="s">
        <v>134</v>
      </c>
      <c r="I6" s="35">
        <v>4</v>
      </c>
      <c r="J6" s="39" t="s">
        <v>135</v>
      </c>
    </row>
    <row r="7" spans="2:10" x14ac:dyDescent="0.25">
      <c r="B7" s="37">
        <v>4</v>
      </c>
      <c r="C7" s="35" t="s">
        <v>8</v>
      </c>
      <c r="D7" s="38" t="s">
        <v>136</v>
      </c>
      <c r="I7" s="35">
        <v>5</v>
      </c>
      <c r="J7" s="39" t="s">
        <v>137</v>
      </c>
    </row>
    <row r="8" spans="2:10" x14ac:dyDescent="0.25">
      <c r="B8" s="37">
        <v>5</v>
      </c>
      <c r="C8" s="35" t="s">
        <v>138</v>
      </c>
      <c r="D8" s="38" t="s">
        <v>139</v>
      </c>
      <c r="I8" s="35">
        <v>6</v>
      </c>
      <c r="J8" s="38" t="s">
        <v>140</v>
      </c>
    </row>
    <row r="9" spans="2:10" x14ac:dyDescent="0.25">
      <c r="B9" s="40">
        <v>6</v>
      </c>
      <c r="C9" s="41" t="s">
        <v>141</v>
      </c>
      <c r="D9" s="42" t="s">
        <v>141</v>
      </c>
      <c r="I9" s="35">
        <v>7</v>
      </c>
      <c r="J9" s="39" t="s">
        <v>142</v>
      </c>
    </row>
    <row r="10" spans="2:10" x14ac:dyDescent="0.25">
      <c r="B10" s="40" t="s">
        <v>143</v>
      </c>
      <c r="C10" s="41" t="s">
        <v>124</v>
      </c>
      <c r="D10" s="42" t="s">
        <v>144</v>
      </c>
      <c r="I10" s="35">
        <v>8</v>
      </c>
      <c r="J10" s="39" t="s">
        <v>145</v>
      </c>
    </row>
    <row r="11" spans="2:10" ht="15.75" thickBot="1" x14ac:dyDescent="0.3">
      <c r="B11" s="43" t="s">
        <v>146</v>
      </c>
      <c r="C11" s="44"/>
      <c r="D11" s="44"/>
      <c r="I11" s="45">
        <v>9</v>
      </c>
      <c r="J11" s="46" t="s">
        <v>147</v>
      </c>
    </row>
    <row r="12" spans="2:10" x14ac:dyDescent="0.25">
      <c r="B12" s="98" t="s">
        <v>148</v>
      </c>
      <c r="C12" s="98"/>
      <c r="D12" s="98"/>
      <c r="E12" s="98"/>
      <c r="F12" s="98"/>
      <c r="G12" s="98"/>
      <c r="I12" s="47"/>
      <c r="J12" s="48"/>
    </row>
    <row r="13" spans="2:10" x14ac:dyDescent="0.25">
      <c r="B13" s="49" t="s">
        <v>149</v>
      </c>
      <c r="C13" s="49"/>
      <c r="D13" s="49"/>
      <c r="E13" s="49"/>
      <c r="F13" s="49"/>
      <c r="G13" s="49"/>
      <c r="I13" s="47"/>
      <c r="J13" s="48"/>
    </row>
    <row r="14" spans="2:10" ht="15.75" thickBot="1" x14ac:dyDescent="0.3"/>
    <row r="15" spans="2:10" ht="16.5" thickBot="1" x14ac:dyDescent="0.3">
      <c r="B15" s="50" t="s">
        <v>150</v>
      </c>
      <c r="C15" s="99" t="s">
        <v>151</v>
      </c>
      <c r="D15" s="100"/>
      <c r="E15" s="100"/>
      <c r="F15" s="100"/>
      <c r="G15" s="100"/>
      <c r="H15" s="100"/>
      <c r="I15" s="101"/>
      <c r="J15" s="51" t="s">
        <v>152</v>
      </c>
    </row>
    <row r="16" spans="2:10" x14ac:dyDescent="0.25">
      <c r="B16" s="52">
        <v>1</v>
      </c>
      <c r="C16" s="110" t="s">
        <v>153</v>
      </c>
      <c r="D16" s="111"/>
      <c r="E16" s="111"/>
      <c r="F16" s="111"/>
      <c r="G16" s="111"/>
      <c r="H16" s="111"/>
      <c r="I16" s="112"/>
      <c r="J16" s="53" t="s">
        <v>137</v>
      </c>
    </row>
    <row r="17" spans="2:10" x14ac:dyDescent="0.25">
      <c r="B17" s="54">
        <v>2</v>
      </c>
      <c r="C17" s="92" t="s">
        <v>193</v>
      </c>
      <c r="D17" s="93"/>
      <c r="E17" s="93"/>
      <c r="F17" s="93"/>
      <c r="G17" s="93"/>
      <c r="H17" s="93"/>
      <c r="I17" s="94"/>
      <c r="J17" s="55" t="s">
        <v>154</v>
      </c>
    </row>
    <row r="18" spans="2:10" ht="17.25" customHeight="1" x14ac:dyDescent="0.25">
      <c r="B18" s="56">
        <v>3</v>
      </c>
      <c r="C18" s="92" t="s">
        <v>155</v>
      </c>
      <c r="D18" s="93"/>
      <c r="E18" s="93"/>
      <c r="F18" s="93"/>
      <c r="G18" s="93"/>
      <c r="H18" s="93"/>
      <c r="I18" s="94"/>
      <c r="J18" s="55" t="s">
        <v>156</v>
      </c>
    </row>
    <row r="19" spans="2:10" ht="17.25" customHeight="1" x14ac:dyDescent="0.25">
      <c r="B19" s="54">
        <v>4</v>
      </c>
      <c r="C19" s="102" t="s">
        <v>157</v>
      </c>
      <c r="D19" s="103"/>
      <c r="E19" s="103"/>
      <c r="F19" s="103"/>
      <c r="G19" s="103"/>
      <c r="H19" s="103"/>
      <c r="I19" s="104"/>
      <c r="J19" s="37" t="s">
        <v>158</v>
      </c>
    </row>
    <row r="20" spans="2:10" ht="17.25" customHeight="1" x14ac:dyDescent="0.25">
      <c r="B20" s="54">
        <v>5</v>
      </c>
      <c r="C20" s="102" t="s">
        <v>159</v>
      </c>
      <c r="D20" s="103"/>
      <c r="E20" s="103"/>
      <c r="F20" s="103"/>
      <c r="G20" s="103"/>
      <c r="H20" s="103"/>
      <c r="I20" s="104"/>
      <c r="J20" s="37" t="s">
        <v>160</v>
      </c>
    </row>
    <row r="21" spans="2:10" ht="17.25" customHeight="1" x14ac:dyDescent="0.25">
      <c r="B21" s="54">
        <v>6</v>
      </c>
      <c r="C21" s="105" t="s">
        <v>161</v>
      </c>
      <c r="D21" s="106"/>
      <c r="E21" s="106"/>
      <c r="F21" s="106"/>
      <c r="G21" s="106"/>
      <c r="H21" s="106"/>
      <c r="I21" s="107"/>
      <c r="J21" s="57" t="s">
        <v>162</v>
      </c>
    </row>
    <row r="22" spans="2:10" ht="17.25" customHeight="1" x14ac:dyDescent="0.25">
      <c r="B22" s="54">
        <v>7</v>
      </c>
      <c r="C22" s="105" t="s">
        <v>163</v>
      </c>
      <c r="D22" s="106"/>
      <c r="E22" s="106"/>
      <c r="F22" s="106"/>
      <c r="G22" s="106"/>
      <c r="H22" s="106"/>
      <c r="I22" s="107"/>
      <c r="J22" s="37" t="s">
        <v>164</v>
      </c>
    </row>
    <row r="23" spans="2:10" ht="17.25" customHeight="1" x14ac:dyDescent="0.25">
      <c r="B23" s="54">
        <v>8</v>
      </c>
      <c r="C23" s="102" t="s">
        <v>165</v>
      </c>
      <c r="D23" s="103"/>
      <c r="E23" s="103"/>
      <c r="F23" s="103"/>
      <c r="G23" s="103"/>
      <c r="H23" s="103"/>
      <c r="I23" s="104"/>
      <c r="J23" s="37" t="s">
        <v>7</v>
      </c>
    </row>
    <row r="24" spans="2:10" ht="17.25" customHeight="1" x14ac:dyDescent="0.25">
      <c r="B24" s="54">
        <v>9</v>
      </c>
      <c r="C24" s="92" t="s">
        <v>166</v>
      </c>
      <c r="D24" s="93"/>
      <c r="E24" s="93"/>
      <c r="F24" s="93"/>
      <c r="G24" s="93"/>
      <c r="H24" s="93"/>
      <c r="I24" s="94"/>
      <c r="J24" s="55" t="s">
        <v>167</v>
      </c>
    </row>
    <row r="25" spans="2:10" ht="17.25" customHeight="1" x14ac:dyDescent="0.25">
      <c r="B25" s="54">
        <v>10</v>
      </c>
      <c r="C25" s="92" t="s">
        <v>168</v>
      </c>
      <c r="D25" s="93"/>
      <c r="E25" s="93"/>
      <c r="F25" s="93"/>
      <c r="G25" s="93"/>
      <c r="H25" s="93"/>
      <c r="I25" s="94"/>
      <c r="J25" s="55" t="s">
        <v>167</v>
      </c>
    </row>
    <row r="26" spans="2:10" ht="17.25" customHeight="1" x14ac:dyDescent="0.25">
      <c r="B26" s="54">
        <v>11</v>
      </c>
      <c r="C26" s="92" t="s">
        <v>192</v>
      </c>
      <c r="D26" s="93"/>
      <c r="E26" s="93"/>
      <c r="F26" s="93"/>
      <c r="G26" s="93"/>
      <c r="H26" s="93"/>
      <c r="I26" s="94"/>
      <c r="J26" s="55" t="s">
        <v>191</v>
      </c>
    </row>
    <row r="27" spans="2:10" ht="17.25" customHeight="1" x14ac:dyDescent="0.25">
      <c r="B27" s="54">
        <v>12</v>
      </c>
      <c r="C27" s="92" t="s">
        <v>169</v>
      </c>
      <c r="D27" s="93"/>
      <c r="E27" s="93"/>
      <c r="F27" s="93"/>
      <c r="G27" s="93"/>
      <c r="H27" s="93"/>
      <c r="I27" s="94"/>
      <c r="J27" s="55" t="s">
        <v>170</v>
      </c>
    </row>
    <row r="28" spans="2:10" ht="17.25" customHeight="1" thickBot="1" x14ac:dyDescent="0.3">
      <c r="B28" s="58">
        <v>13</v>
      </c>
      <c r="C28" s="121" t="s">
        <v>171</v>
      </c>
      <c r="D28" s="122"/>
      <c r="E28" s="122"/>
      <c r="F28" s="122"/>
      <c r="G28" s="122"/>
      <c r="H28" s="122"/>
      <c r="I28" s="123"/>
      <c r="J28" s="59" t="s">
        <v>7</v>
      </c>
    </row>
    <row r="29" spans="2:10" ht="17.25" customHeight="1" x14ac:dyDescent="0.25"/>
    <row r="30" spans="2:10" ht="17.25" customHeight="1" thickBot="1" x14ac:dyDescent="0.3"/>
    <row r="31" spans="2:10" ht="15.75" thickBot="1" x14ac:dyDescent="0.3">
      <c r="B31" s="124" t="s">
        <v>172</v>
      </c>
      <c r="C31" s="125"/>
      <c r="D31" s="126"/>
      <c r="E31" s="127"/>
    </row>
    <row r="32" spans="2:10" x14ac:dyDescent="0.25">
      <c r="B32" s="57">
        <v>1</v>
      </c>
      <c r="C32" s="60" t="s">
        <v>173</v>
      </c>
      <c r="D32" s="128" t="s">
        <v>174</v>
      </c>
      <c r="E32" s="129"/>
    </row>
    <row r="33" spans="2:20" x14ac:dyDescent="0.25">
      <c r="B33" s="37">
        <v>2</v>
      </c>
      <c r="C33" s="61" t="s">
        <v>175</v>
      </c>
      <c r="D33" s="130" t="s">
        <v>176</v>
      </c>
      <c r="E33" s="131"/>
      <c r="T33" s="62"/>
    </row>
    <row r="34" spans="2:20" x14ac:dyDescent="0.25">
      <c r="B34" s="57">
        <v>3</v>
      </c>
      <c r="C34" s="61" t="s">
        <v>177</v>
      </c>
      <c r="D34" s="130" t="s">
        <v>178</v>
      </c>
      <c r="E34" s="131"/>
      <c r="H34" s="62"/>
    </row>
    <row r="35" spans="2:20" ht="15.75" thickBot="1" x14ac:dyDescent="0.3">
      <c r="B35" s="43">
        <v>4</v>
      </c>
      <c r="C35" s="63" t="s">
        <v>179</v>
      </c>
      <c r="D35" s="132" t="s">
        <v>180</v>
      </c>
      <c r="E35" s="133"/>
    </row>
    <row r="36" spans="2:20" ht="15.75" thickBot="1" x14ac:dyDescent="0.3"/>
    <row r="37" spans="2:20" ht="16.5" thickBot="1" x14ac:dyDescent="0.3">
      <c r="C37" s="113" t="s">
        <v>181</v>
      </c>
      <c r="D37" s="114"/>
      <c r="E37" s="115"/>
    </row>
    <row r="38" spans="2:20" ht="15.75" x14ac:dyDescent="0.25">
      <c r="C38" s="116" t="s">
        <v>182</v>
      </c>
      <c r="D38" s="117"/>
      <c r="E38" s="118"/>
    </row>
    <row r="39" spans="2:20" ht="15.75" x14ac:dyDescent="0.25">
      <c r="C39" s="64" t="s">
        <v>183</v>
      </c>
      <c r="D39" s="119" t="s">
        <v>184</v>
      </c>
      <c r="E39" s="120"/>
    </row>
    <row r="40" spans="2:20" ht="15.75" x14ac:dyDescent="0.25">
      <c r="C40" s="65" t="s">
        <v>185</v>
      </c>
      <c r="D40" s="119" t="s">
        <v>186</v>
      </c>
      <c r="E40" s="120"/>
    </row>
    <row r="41" spans="2:20" ht="15.75" x14ac:dyDescent="0.25">
      <c r="C41" s="65" t="s">
        <v>187</v>
      </c>
      <c r="D41" s="119" t="s">
        <v>188</v>
      </c>
      <c r="E41" s="120"/>
    </row>
    <row r="42" spans="2:20" ht="15.75" x14ac:dyDescent="0.25">
      <c r="C42" s="65" t="s">
        <v>179</v>
      </c>
      <c r="D42" s="119" t="s">
        <v>189</v>
      </c>
      <c r="E42" s="120"/>
    </row>
    <row r="43" spans="2:20" ht="16.5" thickBot="1" x14ac:dyDescent="0.3">
      <c r="C43" s="66" t="s">
        <v>173</v>
      </c>
      <c r="D43" s="108" t="s">
        <v>190</v>
      </c>
      <c r="E43" s="109"/>
    </row>
  </sheetData>
  <mergeCells count="28">
    <mergeCell ref="D43:E43"/>
    <mergeCell ref="C17:I17"/>
    <mergeCell ref="C16:I16"/>
    <mergeCell ref="C18:I18"/>
    <mergeCell ref="C37:E37"/>
    <mergeCell ref="C38:E38"/>
    <mergeCell ref="D39:E39"/>
    <mergeCell ref="D40:E40"/>
    <mergeCell ref="D41:E41"/>
    <mergeCell ref="D42:E42"/>
    <mergeCell ref="C28:I28"/>
    <mergeCell ref="B31:E31"/>
    <mergeCell ref="D32:E32"/>
    <mergeCell ref="D33:E33"/>
    <mergeCell ref="D34:E34"/>
    <mergeCell ref="D35:E35"/>
    <mergeCell ref="C27:I27"/>
    <mergeCell ref="B2:D2"/>
    <mergeCell ref="B12:G12"/>
    <mergeCell ref="C15:I15"/>
    <mergeCell ref="C19:I19"/>
    <mergeCell ref="C20:I20"/>
    <mergeCell ref="C21:I21"/>
    <mergeCell ref="C22:I22"/>
    <mergeCell ref="C23:I23"/>
    <mergeCell ref="C24:I24"/>
    <mergeCell ref="C25:I25"/>
    <mergeCell ref="C26:I26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"/>
  <sheetViews>
    <sheetView workbookViewId="0"/>
  </sheetViews>
  <sheetFormatPr defaultRowHeight="15" x14ac:dyDescent="0.2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24</v>
      </c>
      <c r="C2" t="s">
        <v>25</v>
      </c>
      <c r="D2" t="s">
        <v>26</v>
      </c>
    </row>
    <row r="3" spans="1:4" x14ac:dyDescent="0.25">
      <c r="A3" t="s">
        <v>27</v>
      </c>
      <c r="B3" t="s">
        <v>28</v>
      </c>
      <c r="C3" t="s">
        <v>29</v>
      </c>
      <c r="D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Generatorius</vt:lpstr>
      <vt:lpstr>Paaiškinimas</vt:lpstr>
      <vt:lpstr>Taisyklės</vt:lpstr>
      <vt:lpstr>Reikšmės</vt:lpstr>
      <vt:lpstr>Paviršiaus_blizgumas</vt:lpstr>
      <vt:lpstr>Paviršiaus_blizgumas1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Ignas Venckūnas</cp:lastModifiedBy>
  <dcterms:created xsi:type="dcterms:W3CDTF">2024-12-02T13:05:15Z</dcterms:created>
  <dcterms:modified xsi:type="dcterms:W3CDTF">2025-01-23T11:57:27Z</dcterms:modified>
</cp:coreProperties>
</file>